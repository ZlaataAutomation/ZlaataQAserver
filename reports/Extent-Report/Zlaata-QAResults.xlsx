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<sst xmlns="http://schemas.openxmlformats.org/spreadsheetml/2006/main" count="274" uniqueCount="100">
  <si>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</si>
  <si>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</si>
  <si>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</si>
  <si>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</si>
  <si>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</si>
  <si>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</si>
  <si>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</si>
  <si>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</si>
  <si>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</si>
  <si>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</si>
  <si>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</si>
  <si>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</si>
  <si>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</si>
  <si>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</si>
  <si>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</si>
  <si>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</si>
  <si>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</si>
  <si>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</si>
  <si>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</si>
  <si>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</si>
  <si>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</si>
  <si>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</si>
  <si>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</si>
  <si>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</si>
  <si>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</si>
  <si>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</si>
  <si>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</si>
  <si>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</si>
  <si>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</si>
  <si>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</si>
  <si>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</si>
  <si>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</si>
  <si>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</si>
  <si>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</si>
  <si>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</si>
  <si>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</si>
  <si>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</si>
  <si>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</si>
  <si>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</si>
  <si>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</si>
  <si>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</si>
  <si>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</si>
  <si>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</si>
  <si>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</si>
  <si>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</si>
  <si>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</si>
  <si>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</si>
  <si>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</si>
  <si>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</si>
  <si>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</si>
  <si>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</si>
  <si>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</si>
  <si>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</si>
  <si>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</si>
  <si>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</si>
  <si>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</si>
  <si>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</si>
  <si>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</si>
  <si>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</si>
  <si>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</si>
  <si>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</si>
  <si>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</si>
  <si>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</si>
  <si>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</si>
  <si>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</si>
  <si>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</si>
  <si>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Nov 29, 2025 4:24:15 PM</t>
  </si>
  <si>
    <t>Nov 29, 2025 4:14:24 PM</t>
  </si>
  <si>
    <t>Nov 29, 2025 4:24:10 PM</t>
  </si>
  <si>
    <t>9 m 46.572 s</t>
  </si>
  <si>
    <t>0%</t>
  </si>
  <si>
    <t>20%</t>
  </si>
  <si>
    <t>22%</t>
  </si>
  <si>
    <t>@Calculation</t>
  </si>
  <si>
    <t>@TC_UI_Zlaata_Calculate_02</t>
  </si>
  <si>
    <t>@TC_UI_Zlaata_Calculate_03</t>
  </si>
  <si>
    <t>@TC_UI_Zlaata_Calculate_04</t>
  </si>
  <si>
    <t>@TC_UI_Zlaata_Calculate_05</t>
  </si>
  <si>
    <t>Verify product order with Gift Wrap, Coupon, Gift Card, Gift Card Amount and Thread</t>
  </si>
  <si>
    <t>TC_UI_Zlaata_Calculate_02 |Verify price breakup for P1 &amp; P2 with Gift Wrap, Coupon, Gift Card Amount, and Thread.| "TD_UI_Zlaata_Calculate_02"</t>
  </si>
  <si>
    <t>TC_UI_Zlaata_Calculate_03 |Verify price breakup for P1 &amp; CP &amp; AP with Gift Wrap, Coupon, Gift Card Amount, and Thread.| "TD_UI_Zlaata_Calculate_03"</t>
  </si>
  <si>
    <t>TC_UI_Zlaata_Calculate_04 |Verify price calculation for Acessories product shipping charge with gift card.| "TD_UI_Zlaata_Calculate_04"</t>
  </si>
  <si>
    <t>TC_UI_Zlaata_Calculate_05 |Verify price calculation for Acessories product shipping charge and my order page.| "TD_UI_Zlaata_Calculate_05"</t>
  </si>
  <si>
    <t>TC_UI_Zlaata_Calculate_01 |Verify price breakup for P1 with Gift Wrap, Coupon, Gift Card Amount, and Thread.| "TD_UI_Zlaata_Calculate_01"</t>
  </si>
  <si>
    <t>3 m 31.360 s</t>
  </si>
  <si>
    <t>3 m 58.599 s</t>
  </si>
  <si>
    <t>49.755 s</t>
  </si>
  <si>
    <t>49.289 s</t>
  </si>
  <si>
    <t>35.543 s</t>
  </si>
  <si>
    <t>@TC_UI_Zlaata_Calculate_01</t>
  </si>
  <si>
    <t>100%</t>
  </si>
  <si>
    <t>9 m 45.445 s</t>
  </si>
  <si>
    <t>Given User adds Product P1 &amp; P2 with Gift Wrap, Coupon, Gift Card Amount, and Thread</t>
  </si>
  <si>
    <t xml:space="preserve">org.openqa.selenium.TimeoutException: Expected condition failed: waiting for element to be clickable: By.xpath: //button[@data-testid='order-summary-widget-multiple'] (tried for 10 second(s) with 500 milliseconds interval)
Build info: version: '4.34.0', revision: '707dcb4246*'
System info: os.name: 'Windows 11', os.arch: 'amd64', os.version: '10.0', java.version: '11.0.28'
Driver info: net.bytebuddy.renamed.java.lang.Object$ByteBuddy$FlRxqnsV
Capabilities {acceptInsecureCerts: true, browserName: chrome, browserVersion: 142.0.7444.176, chrome: {chromedriverVersion: 142.0.7444.175 (302067f14a4..., userDataDir: C:\Users\SAROJK~1\AppData\L...}, fedcm:accounts: true, goog:chromeOptions: {debuggerAddress: localhost:65468}, goog:processID: 20124, networkConnectionEnabled: false, pageLoadStrategy: normal, platformName: windows, proxy: Proxy(), se:cdp: ws://localhost:65468/devtoo..., se:cdpVersion: 142.0.7444.176,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272c25b7eb1f7a38d5cfa43183c7cdcf
	at org.openqa.selenium.support.ui.WebDriverWait.timeoutException(WebDriverWait.java:84)
	at org.openqa.selenium.support.ui.FluentWait.until(FluentWait.java:228)
	at pages.Calculation_MyOrder_Page.validateRazorpaySummaryCalculation(Calculation_MyOrder_Page.java:818)
	at pages.Calculation_MyOrder_Page.verify_P1_P2_With_GC_C_GW_GCA_T_E(Calculation_MyOrder_Page.java:4384)
	at stepDef.Calculation_MyOrder_StepDef.user_adds_product_p1_p2_with_gift_wrap_coupon_gift_card_amount_and_thread(Calculation_MyOrder_StepDef.java:29)
	at ✽.User adds Product P1 &amp; P2 with Gift Wrap, Coupon, Gift Card Amount, and Thread(file:///C:/Users/Sarojkumar/git/ZlaataQAsever/src/test/resources/features/Calculation_MyOrder/Calculation_MyOrder.feature:17)
</t>
  </si>
  <si>
    <t>Given User adds Product P1 &amp; CP &amp; AP with Gift Wrap, Coupon, Gift Card Amount, and Thread</t>
  </si>
  <si>
    <t xml:space="preserve">org.openqa.selenium.TimeoutException: Expected condition failed: waiting for element to be clickable: By.xpath: //div[@class='nav_drop_down_box_category active']//ul/li/a[translate(normalize-space(), 'abcdefghijklmnopqrstuvwxyz', 'ABCDEFGHIJKLMNOPQRSTUVWXYZ') = 'DRESSES'] (tried for 20 second(s) with 500 milliseconds interval)
Build info: version: '4.34.0', revision: '707dcb4246*'
System info: os.name: 'Windows 11', os.arch: 'amd64', os.version: '10.0', java.version: '11.0.28'
Driver info: net.bytebuddy.renamed.java.lang.Object$ByteBuddy$1OKnVAtN
Capabilities {acceptInsecureCerts: true, browserName: chrome, browserVersion: 142.0.7444.176, chrome: {chromedriverVersion: 142.0.7444.175 (302067f14a4..., userDataDir: C:\Users\SAROJK~1\AppData\L...}, fedcm:accounts: true, goog:chromeOptions: {debuggerAddress: localhost:50858}, goog:processID: 17912, networkConnectionEnabled: false, pageLoadStrategy: normal, platformName: windows, proxy: Proxy(), se:cdp: ws://localhost:50858/devtoo..., se:cdpVersion: 142.0.7444.176,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e847482c0ec573f8f67dacd517fc6f3d
	at org.openqa.selenium.support.ui.WebDriverWait.timeoutException(WebDriverWait.java:84)
	at org.openqa.selenium.support.ui.FluentWait.until(FluentWait.java:228)
	at pages.Calculation_MyOrder_Page.takeRandomProductFromAll(Calculation_MyOrder_Page.java:148)
	at pages.Calculation_MyOrder_Page.verify_P1_CP_AP_With_GC_C_GW_GCA_T_E(Calculation_MyOrder_Page.java:4430)
	at stepDef.Calculation_MyOrder_StepDef.user_adds_product_p1_cp_ap_with_gift_wrap_coupon_gift_card_amount_and_thread(Calculation_MyOrder_StepDef.java:39)
	at ✽.User adds Product P1 &amp; CP &amp; AP with Gift Wrap, Coupon, Gift Card Amount, and Thread(file:///C:/Users/Sarojkumar/git/ZlaataQAsever/src/test/resources/features/Calculation_MyOrder/Calculation_MyOrder.feature:27)
</t>
  </si>
  <si>
    <t>Given user adds a product priced less than the admin panel price-check value, the system should display the shipping charge.</t>
  </si>
  <si>
    <t xml:space="preserve">org.openqa.selenium.ElementClickInterceptedException: element click intercepted: Element &lt;a href="/" class="navigation_menu_txt" style=""&gt;...&lt;/a&gt; is not clickable at point (295, 146). Other element would receive the click: &lt;div class="delete_giftcard_popup popup_containers active"&gt;...&lt;/div&gt;
  (Session info: chrome=142.0.7444.176)
Build info: version: '4.34.0', revision: '707dcb4246*'
System info: os.name: 'Windows 11', os.arch: 'amd64', os.version: '10.0', java.version: '11.0.28'
Driver info: org.openqa.selenium.chrome.ChromeDriver
Command: [27460fea7abed16af31ce9eeccb896a5, clickElement {id=f.9E4E306CA19C0ECC75B7D92E8070A154.d.6321A1C2811B3EE7B17378DCEAFB12D9.e.490}]
Capabilities {acceptInsecureCerts: true, browserName: chrome, browserVersion: 142.0.7444.176, chrome: {chromedriverVersion: 142.0.7444.175 (302067f14a4..., userDataDir: C:\Users\SAROJK~1\AppData\L...}, fedcm:accounts: true, goog:chromeOptions: {debuggerAddress: localhost:55997}, goog:processID: 12132, networkConnectionEnabled: false, pageLoadStrategy: normal, platformName: windows, proxy: Proxy(), se:cdp: ws://localhost:55997/devtoo..., se:cdpVersion: 142.0.7444.176,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(27460fea7abed16af31ce9eeccb896a5)] -&gt; xpath: (//a[normalize-space()='Home'])[1]]
Session ID: 27460fea7abed16af31ce9eeccb896a5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jdk.internal.reflect.GeneratedMethodAccessor92.invoke(Unknown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net.bytebuddy.renamed.java.lang.Object$ByteBuddy$riGop4pX.click(Unknown Source)
	at jdk.internal.reflect.GeneratedMethodAccessor92.invoke(Unknown Source)
	at java.base/jdk.internal.reflect.DelegatingMethodAccessorImpl.invoke(DelegatingMethodAccessorImpl.java:43)
	at java.base/java.lang.reflect.Method.invoke(Method.java:566)
	at org.openqa.selenium.support.pagefactory.internal.LocatingElementHandler.invoke(LocatingElementHandler.java:51)
	at com.sun.proxy.$Proxy50.click(Unknown Source)
	at pages.Calculation_MyOrder_Page.takeAccessoriesProduct(Calculation_MyOrder_Page.java:3909)
	at pages.Calculation_MyOrder_Page.verifyAccessoriesProductsShippingChargesAndMyOrderPage(Calculation_MyOrder_Page.java:4551)
	at stepDef.Calculation_MyOrder_StepDef.user_adds_a_product_priced_less_than_the_admin_panel_price_check_value_the_system_should_display_the_shipping_charge(Calculation_MyOrder_StepDef.java:51)
	at ✽.user adds a product priced less than the admin panel price-check value, the system should display the shipping charge.(file:///C:/Users/Sarojkumar/git/ZlaataQAsever/src/test/resources/features/Calculation_MyOrder/Calculation_MyOrder.feature:37)
</t>
  </si>
  <si>
    <t>Given user adds a product priced less than the admin panel price-check value, the system should display the shipping chargeand my order page.</t>
  </si>
  <si>
    <t xml:space="preserve">org.openqa.selenium.ElementClickInterceptedException: element click intercepted: Element &lt;a href="/" class="navigation_menu_txt" style=""&gt;...&lt;/a&gt; is not clickable at point (295, 146). Other element would receive the click: &lt;div class="delete_giftcard_popup popup_containers active"&gt;...&lt;/div&gt;
  (Session info: chrome=142.0.7444.176)
Build info: version: '4.34.0', revision: '707dcb4246*'
System info: os.name: 'Windows 11', os.arch: 'amd64', os.version: '10.0', java.version: '11.0.28'
Driver info: org.openqa.selenium.chrome.ChromeDriver
Command: [09dc2caa510c615d0f5c8dca50b59b2d, clickElement {id=f.3D0C84628B4F521C529181B02B93CAAC.d.D0A30F723A1BF53FEA710528BBB52850.e.489}]
Capabilities {acceptInsecureCerts: true, browserName: chrome, browserVersion: 142.0.7444.176, chrome: {chromedriverVersion: 142.0.7444.175 (302067f14a4..., userDataDir: C:\Users\SAROJK~1\AppData\L...}, fedcm:accounts: true, goog:chromeOptions: {debuggerAddress: localhost:54663}, goog:processID: 4392, networkConnectionEnabled: false, pageLoadStrategy: normal, platformName: windows, proxy: Proxy(), se:cdp: ws://localhost:54663/devtoo..., se:cdpVersion: 142.0.7444.176,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(09dc2caa510c615d0f5c8dca50b59b2d)] -&gt; xpath: (//a[normalize-space()='Home'])[1]]
Session ID: 09dc2caa510c615d0f5c8dca50b59b2d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jdk.internal.reflect.GeneratedMethodAccessor92.invoke(Unknown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net.bytebuddy.renamed.java.lang.Object$ByteBuddy$q7fvnTrn.click(Unknown Source)
	at jdk.internal.reflect.GeneratedMethodAccessor92.invoke(Unknown Source)
	at java.base/jdk.internal.reflect.DelegatingMethodAccessorImpl.invoke(DelegatingMethodAccessorImpl.java:43)
	at java.base/java.lang.reflect.Method.invoke(Method.java:566)
	at org.openqa.selenium.support.pagefactory.internal.LocatingElementHandler.invoke(LocatingElementHandler.java:51)
	at com.sun.proxy.$Proxy50.click(Unknown Source)
	at pages.Calculation_MyOrder_Page.takeAccessoriesProduct(Calculation_MyOrder_Page.java:3909)
	at pages.Calculation_MyOrder_Page.verifyAccessoriesProductsShippingCharges(Calculation_MyOrder_Page.java:4516)
	at stepDef.Calculation_MyOrder_StepDef.user_adds_a_product_priced_less_than_the_admin_panel_price_check_value_the_system_should_display_the_shipping_chargeand_my_order_page(Calculation_MyOrder_StepDef.java:61)
	at ✽.user adds a product priced less than the admin panel price-check value, the system should display the shipping chargeand my order page.(file:///C:/Users/Sarojkumar/git/ZlaataQAsever/src/test/resources/features/Calculation_MyOrder/Calculation_MyOrder.feature:47)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</si>
</sst>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  <xf numFmtId="0" fontId="24" fillId="0" borderId="13" xfId="0" applyAlignment="true" applyBorder="true" applyFont="true">
      <alignment vertical="top" wrapText="true" horizontal="center"/>
    </xf>
    <xf numFmtId="0" fontId="25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Data'!$A$20:$A$24</c:f>
              <c:strCache>
                <c:ptCount val="5"/>
                <c:pt idx="0">
                  <c:v>@Calculation</c:v>
                </c:pt>
                <c:pt idx="1">
                  <c:v>@TC_UI_Zlaata_Calculate_02</c:v>
                </c:pt>
                <c:pt idx="2">
                  <c:v>@TC_UI_Zlaata_Calculate_03</c:v>
                </c:pt>
                <c:pt idx="3">
                  <c:v>@TC_UI_Zlaata_Calculate_04</c:v>
                </c:pt>
                <c:pt idx="4">
                  <c:v>@TC_UI_Zlaata_Calculate_05</c:v>
                </c:pt>
              </c:strCache>
            </c:strRef>
          </c:cat>
          <c:val>
            <c:numRef>
              <c:f>'DB Data'!$B$20:$B$24</c:f>
              <c:numCache>
                <c:ptCount val="5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Data'!$A$20:$A$24</c:f>
              <c:strCache>
                <c:ptCount val="5"/>
                <c:pt idx="0">
                  <c:v>@Calculation</c:v>
                </c:pt>
                <c:pt idx="1">
                  <c:v>@TC_UI_Zlaata_Calculate_02</c:v>
                </c:pt>
                <c:pt idx="2">
                  <c:v>@TC_UI_Zlaata_Calculate_03</c:v>
                </c:pt>
                <c:pt idx="3">
                  <c:v>@TC_UI_Zlaata_Calculate_04</c:v>
                </c:pt>
                <c:pt idx="4">
                  <c:v>@TC_UI_Zlaata_Calculate_05</c:v>
                </c:pt>
              </c:strCache>
            </c:strRef>
          </c:cat>
          <c:val>
            <c:numRef>
              <c:f>'DB Data'!$D$20:$D$24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Data'!$A$20:$A$24</c:f>
              <c:strCache>
                <c:ptCount val="5"/>
                <c:pt idx="0">
                  <c:v>@Calculation</c:v>
                </c:pt>
                <c:pt idx="1">
                  <c:v>@TC_UI_Zlaata_Calculate_02</c:v>
                </c:pt>
                <c:pt idx="2">
                  <c:v>@TC_UI_Zlaata_Calculate_03</c:v>
                </c:pt>
                <c:pt idx="3">
                  <c:v>@TC_UI_Zlaata_Calculate_04</c:v>
                </c:pt>
                <c:pt idx="4">
                  <c:v>@TC_UI_Zlaata_Calculate_05</c:v>
                </c:pt>
              </c:strCache>
            </c:strRef>
          </c:cat>
          <c:val>
            <c:numRef>
              <c:f>'DB Data'!$C$20:$C$24</c:f>
              <c:numCache>
                <c:ptCount val="5"/>
                <c:pt idx="0">
                  <c:v>4.0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Data'!$J$20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Data'!$P$20:$P$23</c:f>
              <c:strCache>
                <c:ptCount val="4"/>
                <c:pt idx="0">
                  <c:v>TC_UI_Zlaata_Calculate_02 |Verify price breakup for P1 &amp; P2 with Gift Wrap, Coupon, Gift Card Amount, and Thread.| "TD_UI_Zlaata_Calculate_02"</c:v>
                </c:pt>
                <c:pt idx="1">
                  <c:v>TC_UI_Zlaata_Calculate_03 |Verify price breakup for P1 &amp; CP &amp; AP with Gift Wrap, Coupon, Gift Card Amount, and Thread.| "TD_UI_Zlaata_Calculate_03"</c:v>
                </c:pt>
                <c:pt idx="2">
                  <c:v>TC_UI_Zlaata_Calculate_04 |Verify price calculation for Acessories product shipping charge with gift card.| "TD_UI_Zlaata_Calculate_04"</c:v>
                </c:pt>
                <c:pt idx="3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'DB Data'!$R$20:$R$23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Data'!$P$20:$P$23</c:f>
              <c:strCache>
                <c:ptCount val="4"/>
                <c:pt idx="0">
                  <c:v>TC_UI_Zlaata_Calculate_02 |Verify price breakup for P1 &amp; P2 with Gift Wrap, Coupon, Gift Card Amount, and Thread.| "TD_UI_Zlaata_Calculate_02"</c:v>
                </c:pt>
                <c:pt idx="1">
                  <c:v>TC_UI_Zlaata_Calculate_03 |Verify price breakup for P1 &amp; CP &amp; AP with Gift Wrap, Coupon, Gift Card Amount, and Thread.| "TD_UI_Zlaata_Calculate_03"</c:v>
                </c:pt>
                <c:pt idx="2">
                  <c:v>TC_UI_Zlaata_Calculate_04 |Verify price calculation for Acessories product shipping charge with gift card.| "TD_UI_Zlaata_Calculate_04"</c:v>
                </c:pt>
                <c:pt idx="3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'DB Data'!$T$20:$T$23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Data'!$P$20:$P$23</c:f>
              <c:strCache>
                <c:ptCount val="4"/>
                <c:pt idx="0">
                  <c:v>TC_UI_Zlaata_Calculate_02 |Verify price breakup for P1 &amp; P2 with Gift Wrap, Coupon, Gift Card Amount, and Thread.| "TD_UI_Zlaata_Calculate_02"</c:v>
                </c:pt>
                <c:pt idx="1">
                  <c:v>TC_UI_Zlaata_Calculate_03 |Verify price breakup for P1 &amp; CP &amp; AP with Gift Wrap, Coupon, Gift Card Amount, and Thread.| "TD_UI_Zlaata_Calculate_03"</c:v>
                </c:pt>
                <c:pt idx="2">
                  <c:v>TC_UI_Zlaata_Calculate_04 |Verify price calculation for Acessories product shipping charge with gift card.| "TD_UI_Zlaata_Calculate_04"</c:v>
                </c:pt>
                <c:pt idx="3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'DB Data'!$S$20:$S$23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TC_UI_Zlaata_Calculate_01 |Verify price breakup for P1 with Gift Wrap, Coupon, Gift Card Amount, and Thread.| "TD_UI_Zlaata_Calculate_01"</c:v>
                </c:pt>
                <c:pt idx="1">
                  <c:v>TC_UI_Zlaata_Calculate_02 |Verify price breakup for P1 &amp; P2 with Gift Wrap, Coupon, Gift Card Amount, and Thread.| "TD_UI_Zlaata_Calculate_02"</c:v>
                </c:pt>
                <c:pt idx="2">
                  <c:v>TC_UI_Zlaata_Calculate_03 |Verify price breakup for P1 &amp; CP &amp; AP with Gift Wrap, Coupon, Gift Card Amount, and Thread.| "TD_UI_Zlaata_Calculate_03"</c:v>
                </c:pt>
                <c:pt idx="3">
                  <c:v>TC_UI_Zlaata_Calculate_04 |Verify price calculation for Acessories product shipping charge with gift card.| "TD_UI_Zlaata_Calculate_04"</c:v>
                </c:pt>
                <c:pt idx="4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Scenarios!$H$22:$H$26</c:f>
              <c:numCache>
                <c:ptCount val="5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TC_UI_Zlaata_Calculate_01 |Verify price breakup for P1 with Gift Wrap, Coupon, Gift Card Amount, and Thread.| "TD_UI_Zlaata_Calculate_01"</c:v>
                </c:pt>
                <c:pt idx="1">
                  <c:v>TC_UI_Zlaata_Calculate_02 |Verify price breakup for P1 &amp; P2 with Gift Wrap, Coupon, Gift Card Amount, and Thread.| "TD_UI_Zlaata_Calculate_02"</c:v>
                </c:pt>
                <c:pt idx="2">
                  <c:v>TC_UI_Zlaata_Calculate_03 |Verify price breakup for P1 &amp; CP &amp; AP with Gift Wrap, Coupon, Gift Card Amount, and Thread.| "TD_UI_Zlaata_Calculate_03"</c:v>
                </c:pt>
                <c:pt idx="3">
                  <c:v>TC_UI_Zlaata_Calculate_04 |Verify price calculation for Acessories product shipping charge with gift card.| "TD_UI_Zlaata_Calculate_04"</c:v>
                </c:pt>
                <c:pt idx="4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Scenarios!$J$22:$J$26</c:f>
              <c:numCache>
                <c:ptCount val="5"/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TC_UI_Zlaata_Calculate_01 |Verify price breakup for P1 with Gift Wrap, Coupon, Gift Card Amount, and Thread.| "TD_UI_Zlaata_Calculate_01"</c:v>
                </c:pt>
                <c:pt idx="1">
                  <c:v>TC_UI_Zlaata_Calculate_02 |Verify price breakup for P1 &amp; P2 with Gift Wrap, Coupon, Gift Card Amount, and Thread.| "TD_UI_Zlaata_Calculate_02"</c:v>
                </c:pt>
                <c:pt idx="2">
                  <c:v>TC_UI_Zlaata_Calculate_03 |Verify price breakup for P1 &amp; CP &amp; AP with Gift Wrap, Coupon, Gift Card Amount, and Thread.| "TD_UI_Zlaata_Calculate_03"</c:v>
                </c:pt>
                <c:pt idx="3">
                  <c:v>TC_UI_Zlaata_Calculate_04 |Verify price calculation for Acessories product shipping charge with gift card.| "TD_UI_Zlaata_Calculate_04"</c:v>
                </c:pt>
                <c:pt idx="4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Scenarios!$I$22:$I$26</c:f>
              <c:numCache>
                <c:ptCount val="5"/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Tags!$B$22:$B$27</c:f>
              <c:strCache>
                <c:ptCount val="6"/>
                <c:pt idx="0">
                  <c:v>@Calculation</c:v>
                </c:pt>
                <c:pt idx="1">
                  <c:v>@TC_UI_Zlaata_Calculate_01</c:v>
                </c:pt>
                <c:pt idx="2">
                  <c:v>@TC_UI_Zlaata_Calculate_02</c:v>
                </c:pt>
                <c:pt idx="3">
                  <c:v>@TC_UI_Zlaata_Calculate_03</c:v>
                </c:pt>
                <c:pt idx="4">
                  <c:v>@TC_UI_Zlaata_Calculate_04</c:v>
                </c:pt>
                <c:pt idx="5">
                  <c:v>@TC_UI_Zlaata_Calculate_05</c:v>
                </c:pt>
              </c:strCache>
            </c:strRef>
          </c:cat>
          <c:val>
            <c:numRef>
              <c:f>Tags!$D$22:$D$27</c:f>
              <c:numCache>
                <c:ptCount val="6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Tags!$B$22:$B$27</c:f>
              <c:strCache>
                <c:ptCount val="6"/>
                <c:pt idx="0">
                  <c:v>@Calculation</c:v>
                </c:pt>
                <c:pt idx="1">
                  <c:v>@TC_UI_Zlaata_Calculate_01</c:v>
                </c:pt>
                <c:pt idx="2">
                  <c:v>@TC_UI_Zlaata_Calculate_02</c:v>
                </c:pt>
                <c:pt idx="3">
                  <c:v>@TC_UI_Zlaata_Calculate_03</c:v>
                </c:pt>
                <c:pt idx="4">
                  <c:v>@TC_UI_Zlaata_Calculate_04</c:v>
                </c:pt>
                <c:pt idx="5">
                  <c:v>@TC_UI_Zlaata_Calculate_05</c:v>
                </c:pt>
              </c:strCache>
            </c:strRef>
          </c:cat>
          <c:val>
            <c:numRef>
              <c:f>Tags!$F$22:$F$27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Tags!$B$22:$B$27</c:f>
              <c:strCache>
                <c:ptCount val="6"/>
                <c:pt idx="0">
                  <c:v>@Calculation</c:v>
                </c:pt>
                <c:pt idx="1">
                  <c:v>@TC_UI_Zlaata_Calculate_01</c:v>
                </c:pt>
                <c:pt idx="2">
                  <c:v>@TC_UI_Zlaata_Calculate_02</c:v>
                </c:pt>
                <c:pt idx="3">
                  <c:v>@TC_UI_Zlaata_Calculate_03</c:v>
                </c:pt>
                <c:pt idx="4">
                  <c:v>@TC_UI_Zlaata_Calculate_04</c:v>
                </c:pt>
                <c:pt idx="5">
                  <c:v>@TC_UI_Zlaata_Calculate_05</c:v>
                </c:pt>
              </c:strCache>
            </c:strRef>
          </c:cat>
          <c:val>
            <c:numRef>
              <c:f>Tags!$E$22:$E$27</c:f>
              <c:numCache>
                <c:ptCount val="6"/>
                <c:pt idx="0">
                  <c:v>4.0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48</xdr:row>
      <xdr:rowOff>9525</xdr:rowOff>
    </xdr:from>
    <xdr:to>
      <xdr:col>3</xdr:col>
      <xdr:colOff>1095375</xdr:colOff>
      <xdr:row>65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48</xdr:row>
      <xdr:rowOff>9524</xdr:rowOff>
    </xdr:from>
    <xdr:to>
      <xdr:col>7</xdr:col>
      <xdr:colOff>457200</xdr:colOff>
      <xdr:row>65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7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73</v>
      </c>
      <c r="C39" s="52" t="s">
        <v>78</v>
      </c>
      <c r="D39" s="49"/>
      <c r="E39" s="49"/>
      <c r="F39" s="52" t="s">
        <v>79</v>
      </c>
      <c r="G39" s="53" t="s">
        <v>40</v>
      </c>
    </row>
    <row r="40">
      <c r="B40" s="49"/>
      <c r="C40" s="49"/>
      <c r="D40" s="49"/>
      <c r="E40" s="49"/>
      <c r="F40" s="52" t="s">
        <v>80</v>
      </c>
      <c r="G40" s="53" t="s">
        <v>40</v>
      </c>
    </row>
    <row r="41">
      <c r="B41" s="49"/>
      <c r="C41" s="49"/>
      <c r="D41" s="49"/>
      <c r="E41" s="49"/>
      <c r="F41" s="52" t="s">
        <v>81</v>
      </c>
      <c r="G41" s="53" t="s">
        <v>40</v>
      </c>
    </row>
    <row r="42">
      <c r="B42" s="49"/>
      <c r="C42" s="49"/>
      <c r="D42" s="49"/>
      <c r="E42" s="49"/>
      <c r="F42" s="52" t="s">
        <v>82</v>
      </c>
      <c r="G42" s="53" t="s">
        <v>40</v>
      </c>
    </row>
    <row r="43">
      <c r="B43" s="51" t="s">
        <v>74</v>
      </c>
      <c r="C43" s="52" t="s">
        <v>78</v>
      </c>
      <c r="D43" s="49"/>
      <c r="E43" s="49"/>
      <c r="F43" s="52" t="s">
        <v>79</v>
      </c>
      <c r="G43" s="53" t="s">
        <v>40</v>
      </c>
    </row>
    <row r="44">
      <c r="B44" s="51" t="s">
        <v>75</v>
      </c>
      <c r="C44" s="52" t="s">
        <v>78</v>
      </c>
      <c r="D44" s="49"/>
      <c r="E44" s="49"/>
      <c r="F44" s="52" t="s">
        <v>80</v>
      </c>
      <c r="G44" s="53" t="s">
        <v>40</v>
      </c>
    </row>
    <row r="45">
      <c r="B45" s="51" t="s">
        <v>76</v>
      </c>
      <c r="C45" s="52" t="s">
        <v>78</v>
      </c>
      <c r="D45" s="49"/>
      <c r="E45" s="49"/>
      <c r="F45" s="52" t="s">
        <v>81</v>
      </c>
      <c r="G45" s="53" t="s">
        <v>40</v>
      </c>
    </row>
    <row r="46">
      <c r="B46" s="51" t="s">
        <v>77</v>
      </c>
      <c r="C46" s="52" t="s">
        <v>78</v>
      </c>
      <c r="D46" s="49"/>
      <c r="E46" s="49"/>
      <c r="F46" s="52" t="s">
        <v>82</v>
      </c>
      <c r="G46" s="53" t="s">
        <v>40</v>
      </c>
    </row>
    <row r="47" spans="2:7" ht="15.75" x14ac:dyDescent="0.25">
      <c r="B47" s="9"/>
      <c r="C47" s="9"/>
      <c r="D47" s="9"/>
      <c r="E47" s="9"/>
      <c r="F47" s="9"/>
      <c r="G47" s="9"/>
    </row>
    <row r="67" spans="2:7" ht="17.25" x14ac:dyDescent="0.3">
      <c r="B67" s="7" t="s">
        <v>44</v>
      </c>
    </row>
    <row r="68" spans="2:7" ht="15.75" x14ac:dyDescent="0.25">
      <c r="B68" s="36" t="s">
        <v>16</v>
      </c>
      <c r="C68" s="38"/>
      <c r="D68" s="8" t="s">
        <v>19</v>
      </c>
      <c r="E68" s="36" t="s">
        <v>17</v>
      </c>
      <c r="F68" s="38"/>
      <c r="G68" s="8" t="s">
        <v>23</v>
      </c>
    </row>
    <row r="69">
      <c r="B69" s="52" t="s">
        <v>78</v>
      </c>
      <c r="C69" s="49"/>
      <c r="D69" s="53" t="s">
        <v>40</v>
      </c>
      <c r="E69" s="52" t="s">
        <v>79</v>
      </c>
      <c r="F69" s="49"/>
      <c r="G69" s="53" t="s">
        <v>40</v>
      </c>
    </row>
    <row r="70">
      <c r="B70" s="49"/>
      <c r="C70" s="49"/>
      <c r="D70" s="49"/>
      <c r="E70" s="52" t="s">
        <v>80</v>
      </c>
      <c r="F70" s="49"/>
      <c r="G70" s="53" t="s">
        <v>40</v>
      </c>
    </row>
    <row r="71">
      <c r="B71" s="49"/>
      <c r="C71" s="49"/>
      <c r="D71" s="49"/>
      <c r="E71" s="52" t="s">
        <v>81</v>
      </c>
      <c r="F71" s="49"/>
      <c r="G71" s="53" t="s">
        <v>40</v>
      </c>
    </row>
    <row r="72">
      <c r="B72" s="49"/>
      <c r="C72" s="49"/>
      <c r="D72" s="49"/>
      <c r="E72" s="52" t="s">
        <v>82</v>
      </c>
      <c r="F72" s="49"/>
      <c r="G72" s="53" t="s">
        <v>40</v>
      </c>
    </row>
  </sheetData>
  <sheetProtection sheet="true" password="940D" scenarios="true" objects="true"/>
  <mergeCells count="17">
    <mergeCell ref="C38:E38"/>
    <mergeCell ref="B68:C68"/>
    <mergeCell ref="E68:F68"/>
    <mergeCell ref="B39:B42"/>
    <mergeCell ref="C39:E42"/>
    <mergeCell ref="C43:E43"/>
    <mergeCell ref="C44:E44"/>
    <mergeCell ref="C45:E45"/>
    <mergeCell ref="C46:E46"/>
    <mergeCell ref="B69:C72"/>
    <mergeCell ref="D69:D72"/>
    <mergeCell ref="E69:F69"/>
    <mergeCell ref="E70:F70"/>
    <mergeCell ref="E71:F71"/>
    <mergeCell ref="E72:F7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6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83</v>
      </c>
      <c r="C22" s="54" t="s">
        <v>48</v>
      </c>
      <c r="D22" s="55" t="s">
        <v>84</v>
      </c>
      <c r="E22" s="51" t="s">
        <v>78</v>
      </c>
      <c r="F22" s="53" t="s">
        <v>40</v>
      </c>
      <c r="G22" s="50" t="n">
        <v>2.0</v>
      </c>
      <c r="H22" s="56" t="n">
        <v>2.0</v>
      </c>
      <c r="I22" s="57"/>
      <c r="J22" s="58"/>
    </row>
    <row r="23">
      <c r="B23" s="51" t="s">
        <v>79</v>
      </c>
      <c r="C23" s="53" t="s">
        <v>40</v>
      </c>
      <c r="D23" s="55" t="s">
        <v>85</v>
      </c>
      <c r="E23" s="51" t="s">
        <v>78</v>
      </c>
      <c r="F23" s="53" t="s">
        <v>40</v>
      </c>
      <c r="G23" s="50" t="n">
        <v>2.0</v>
      </c>
      <c r="H23" s="56"/>
      <c r="I23" s="57" t="n">
        <v>1.0</v>
      </c>
      <c r="J23" s="58" t="n">
        <v>1.0</v>
      </c>
    </row>
    <row r="24">
      <c r="B24" s="51" t="s">
        <v>80</v>
      </c>
      <c r="C24" s="53" t="s">
        <v>40</v>
      </c>
      <c r="D24" s="55" t="s">
        <v>86</v>
      </c>
      <c r="E24" s="51" t="s">
        <v>78</v>
      </c>
      <c r="F24" s="53" t="s">
        <v>40</v>
      </c>
      <c r="G24" s="50" t="n">
        <v>2.0</v>
      </c>
      <c r="H24" s="56"/>
      <c r="I24" s="57" t="n">
        <v>1.0</v>
      </c>
      <c r="J24" s="58" t="n">
        <v>1.0</v>
      </c>
    </row>
    <row r="25">
      <c r="B25" s="51" t="s">
        <v>81</v>
      </c>
      <c r="C25" s="53" t="s">
        <v>40</v>
      </c>
      <c r="D25" s="55" t="s">
        <v>87</v>
      </c>
      <c r="E25" s="51" t="s">
        <v>78</v>
      </c>
      <c r="F25" s="53" t="s">
        <v>40</v>
      </c>
      <c r="G25" s="50" t="n">
        <v>2.0</v>
      </c>
      <c r="H25" s="56"/>
      <c r="I25" s="57" t="n">
        <v>1.0</v>
      </c>
      <c r="J25" s="58" t="n">
        <v>1.0</v>
      </c>
    </row>
    <row r="26">
      <c r="B26" s="51" t="s">
        <v>82</v>
      </c>
      <c r="C26" s="53" t="s">
        <v>40</v>
      </c>
      <c r="D26" s="55" t="s">
        <v>88</v>
      </c>
      <c r="E26" s="51" t="s">
        <v>78</v>
      </c>
      <c r="F26" s="53" t="s">
        <v>40</v>
      </c>
      <c r="G26" s="50" t="n">
        <v>1.0</v>
      </c>
      <c r="H26" s="56"/>
      <c r="I26" s="57" t="n">
        <v>1.0</v>
      </c>
      <c r="J26" s="58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4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73</v>
      </c>
      <c r="C22" s="50" t="n">
        <v>5.0</v>
      </c>
      <c r="D22" s="56" t="n">
        <v>1.0</v>
      </c>
      <c r="E22" s="57" t="n">
        <v>4.0</v>
      </c>
      <c r="F22" s="58"/>
      <c r="G22" s="59" t="s">
        <v>71</v>
      </c>
    </row>
    <row r="23">
      <c r="B23" s="51" t="s">
        <v>89</v>
      </c>
      <c r="C23" s="50" t="n">
        <v>1.0</v>
      </c>
      <c r="D23" s="56" t="n">
        <v>1.0</v>
      </c>
      <c r="E23" s="57"/>
      <c r="F23" s="58"/>
      <c r="G23" s="59" t="s">
        <v>90</v>
      </c>
    </row>
    <row r="24">
      <c r="B24" s="51" t="s">
        <v>74</v>
      </c>
      <c r="C24" s="50" t="n">
        <v>1.0</v>
      </c>
      <c r="D24" s="56"/>
      <c r="E24" s="57" t="n">
        <v>1.0</v>
      </c>
      <c r="F24" s="58"/>
      <c r="G24" s="59" t="s">
        <v>70</v>
      </c>
    </row>
    <row r="25">
      <c r="B25" s="51" t="s">
        <v>75</v>
      </c>
      <c r="C25" s="50" t="n">
        <v>1.0</v>
      </c>
      <c r="D25" s="56"/>
      <c r="E25" s="57" t="n">
        <v>1.0</v>
      </c>
      <c r="F25" s="58"/>
      <c r="G25" s="59" t="s">
        <v>70</v>
      </c>
    </row>
    <row r="26">
      <c r="B26" s="51" t="s">
        <v>76</v>
      </c>
      <c r="C26" s="50" t="n">
        <v>1.0</v>
      </c>
      <c r="D26" s="56"/>
      <c r="E26" s="57" t="n">
        <v>1.0</v>
      </c>
      <c r="F26" s="58"/>
      <c r="G26" s="59" t="s">
        <v>70</v>
      </c>
    </row>
    <row r="27">
      <c r="B27" s="51" t="s">
        <v>77</v>
      </c>
      <c r="C27" s="50" t="n">
        <v>1.0</v>
      </c>
      <c r="D27" s="56"/>
      <c r="E27" s="57" t="n">
        <v>1.0</v>
      </c>
      <c r="F27" s="58"/>
      <c r="G27" s="59" t="s">
        <v>70</v>
      </c>
    </row>
    <row r="31" spans="2:9" x14ac:dyDescent="0.25">
      <c r="B31" s="34" t="s">
        <v>43</v>
      </c>
      <c r="C31" s="42" t="s">
        <v>16</v>
      </c>
      <c r="D31" s="42"/>
      <c r="E31" s="42"/>
      <c r="F31" s="42"/>
      <c r="G31" s="42"/>
      <c r="H31" s="34" t="s">
        <v>17</v>
      </c>
      <c r="I31" s="34" t="s">
        <v>23</v>
      </c>
    </row>
    <row r="32">
      <c r="B32" s="51" t="s">
        <v>73</v>
      </c>
      <c r="C32" s="52" t="s">
        <v>78</v>
      </c>
      <c r="D32" s="49"/>
      <c r="E32" s="49"/>
      <c r="F32" s="49"/>
      <c r="G32" s="49"/>
      <c r="H32" s="60" t="s">
        <v>83</v>
      </c>
      <c r="I32" s="54" t="s">
        <v>48</v>
      </c>
    </row>
    <row r="33">
      <c r="B33" s="49"/>
      <c r="C33" s="49"/>
      <c r="D33" s="49"/>
      <c r="E33" s="49"/>
      <c r="F33" s="49"/>
      <c r="G33" s="49"/>
      <c r="H33" s="52" t="s">
        <v>79</v>
      </c>
      <c r="I33" s="53" t="s">
        <v>40</v>
      </c>
    </row>
    <row r="34">
      <c r="B34" s="49"/>
      <c r="C34" s="49"/>
      <c r="D34" s="49"/>
      <c r="E34" s="49"/>
      <c r="F34" s="49"/>
      <c r="G34" s="49"/>
      <c r="H34" s="52" t="s">
        <v>80</v>
      </c>
      <c r="I34" s="53" t="s">
        <v>40</v>
      </c>
    </row>
    <row r="35">
      <c r="B35" s="49"/>
      <c r="C35" s="49"/>
      <c r="D35" s="49"/>
      <c r="E35" s="49"/>
      <c r="F35" s="49"/>
      <c r="G35" s="49"/>
      <c r="H35" s="52" t="s">
        <v>81</v>
      </c>
      <c r="I35" s="53" t="s">
        <v>40</v>
      </c>
    </row>
    <row r="36">
      <c r="B36" s="49"/>
      <c r="C36" s="49"/>
      <c r="D36" s="49"/>
      <c r="E36" s="49"/>
      <c r="F36" s="49"/>
      <c r="G36" s="49"/>
      <c r="H36" s="52" t="s">
        <v>82</v>
      </c>
      <c r="I36" s="53" t="s">
        <v>40</v>
      </c>
    </row>
    <row r="37">
      <c r="B37" s="51" t="s">
        <v>89</v>
      </c>
      <c r="C37" s="52" t="s">
        <v>78</v>
      </c>
      <c r="D37" s="49"/>
      <c r="E37" s="49"/>
      <c r="F37" s="49"/>
      <c r="G37" s="49"/>
      <c r="H37" s="60" t="s">
        <v>83</v>
      </c>
      <c r="I37" s="54" t="s">
        <v>48</v>
      </c>
    </row>
    <row r="38">
      <c r="B38" s="51" t="s">
        <v>74</v>
      </c>
      <c r="C38" s="52" t="s">
        <v>78</v>
      </c>
      <c r="D38" s="49"/>
      <c r="E38" s="49"/>
      <c r="F38" s="49"/>
      <c r="G38" s="49"/>
      <c r="H38" s="52" t="s">
        <v>79</v>
      </c>
      <c r="I38" s="53" t="s">
        <v>40</v>
      </c>
    </row>
    <row r="39">
      <c r="B39" s="51" t="s">
        <v>75</v>
      </c>
      <c r="C39" s="52" t="s">
        <v>78</v>
      </c>
      <c r="D39" s="49"/>
      <c r="E39" s="49"/>
      <c r="F39" s="49"/>
      <c r="G39" s="49"/>
      <c r="H39" s="52" t="s">
        <v>80</v>
      </c>
      <c r="I39" s="53" t="s">
        <v>40</v>
      </c>
    </row>
    <row r="40">
      <c r="B40" s="51" t="s">
        <v>76</v>
      </c>
      <c r="C40" s="52" t="s">
        <v>78</v>
      </c>
      <c r="D40" s="49"/>
      <c r="E40" s="49"/>
      <c r="F40" s="49"/>
      <c r="G40" s="49"/>
      <c r="H40" s="52" t="s">
        <v>81</v>
      </c>
      <c r="I40" s="53" t="s">
        <v>40</v>
      </c>
    </row>
    <row r="41">
      <c r="B41" s="51" t="s">
        <v>77</v>
      </c>
      <c r="C41" s="52" t="s">
        <v>78</v>
      </c>
      <c r="D41" s="49"/>
      <c r="E41" s="49"/>
      <c r="F41" s="49"/>
      <c r="G41" s="49"/>
      <c r="H41" s="52" t="s">
        <v>82</v>
      </c>
      <c r="I41" s="53" t="s">
        <v>40</v>
      </c>
    </row>
  </sheetData>
  <mergeCells count="11">
    <mergeCell ref="B20:B21"/>
    <mergeCell ref="C20:G20"/>
    <mergeCell ref="C31:G31"/>
    <mergeCell ref="B32:B36"/>
    <mergeCell ref="C32:G36"/>
    <mergeCell ref="C37:G37"/>
    <mergeCell ref="C38:G38"/>
    <mergeCell ref="C39:G39"/>
    <mergeCell ref="C40:G40"/>
    <mergeCell ref="C41:G4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78</v>
      </c>
      <c r="C22" s="53" t="s">
        <v>40</v>
      </c>
      <c r="D22" s="55" t="s">
        <v>91</v>
      </c>
      <c r="E22" s="50" t="n">
        <v>5.0</v>
      </c>
      <c r="F22" s="56" t="n">
        <v>1.0</v>
      </c>
      <c r="G22" s="57" t="n">
        <v>4.0</v>
      </c>
      <c r="H22" s="58"/>
      <c r="I22" s="59" t="s">
        <v>71</v>
      </c>
      <c r="J22" s="50" t="n">
        <v>9.0</v>
      </c>
      <c r="K22" s="56" t="n">
        <v>2.0</v>
      </c>
      <c r="L22" s="57" t="n">
        <v>4.0</v>
      </c>
      <c r="M22" s="58" t="n">
        <v>3.0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6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78</v>
      </c>
      <c r="C3" s="52" t="s">
        <v>79</v>
      </c>
      <c r="D3" s="52" t="s">
        <v>92</v>
      </c>
      <c r="E3" s="52" t="s">
        <v>93</v>
      </c>
    </row>
    <row r="4">
      <c r="B4" s="49"/>
      <c r="C4" s="52" t="s">
        <v>80</v>
      </c>
      <c r="D4" s="52" t="s">
        <v>94</v>
      </c>
      <c r="E4" s="52" t="s">
        <v>95</v>
      </c>
    </row>
    <row r="5">
      <c r="B5" s="49"/>
      <c r="C5" s="52" t="s">
        <v>81</v>
      </c>
      <c r="D5" s="52" t="s">
        <v>96</v>
      </c>
      <c r="E5" s="52" t="s">
        <v>97</v>
      </c>
    </row>
    <row r="6">
      <c r="B6" s="49"/>
      <c r="C6" s="52" t="s">
        <v>82</v>
      </c>
      <c r="D6" s="52" t="s">
        <v>98</v>
      </c>
      <c r="E6" s="52" t="s">
        <v>99</v>
      </c>
    </row>
  </sheetData>
  <sheetProtection sheet="true" password="92C3" scenarios="true" objects="true"/>
  <mergeCells count="1">
    <mergeCell ref="B3:B6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4.0</v>
      </c>
      <c r="G3" t="s" s="0">
        <v>13</v>
      </c>
      <c r="H3" t="n" s="0">
        <v>4.0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3.0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5.0</v>
      </c>
      <c r="G5" t="s" s="0">
        <v>22</v>
      </c>
      <c r="H5" t="n" s="0">
        <v>9.0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71</v>
      </c>
      <c r="H6" s="11" t="s">
        <v>72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73</v>
      </c>
      <c r="B20" s="50" t="n">
        <v>1.0</v>
      </c>
      <c r="C20" s="50" t="n">
        <v>4.0</v>
      </c>
      <c r="D20" s="50"/>
      <c r="H20" t="s" s="49">
        <v>78</v>
      </c>
      <c r="I20" t="s" s="49">
        <v>40</v>
      </c>
      <c r="J20" s="50" t="n">
        <v>1.0</v>
      </c>
      <c r="K20" s="50" t="n">
        <v>4.0</v>
      </c>
      <c r="L20" s="50"/>
      <c r="P20" t="s" s="49">
        <v>79</v>
      </c>
      <c r="Q20" t="s" s="49">
        <v>40</v>
      </c>
      <c r="R20" s="50"/>
      <c r="S20" s="50" t="n">
        <v>1.0</v>
      </c>
      <c r="T20" s="50" t="n">
        <v>1.0</v>
      </c>
    </row>
    <row r="21">
      <c r="A21" s="49" t="s">
        <v>74</v>
      </c>
      <c r="B21" s="50"/>
      <c r="C21" s="50" t="n">
        <v>1.0</v>
      </c>
      <c r="D21" s="50"/>
      <c r="P21" s="49" t="s">
        <v>80</v>
      </c>
      <c r="Q21" s="49" t="s">
        <v>40</v>
      </c>
      <c r="R21" s="50"/>
      <c r="S21" s="50" t="n">
        <v>1.0</v>
      </c>
      <c r="T21" s="50" t="n">
        <v>1.0</v>
      </c>
    </row>
    <row r="22">
      <c r="A22" s="49" t="s">
        <v>75</v>
      </c>
      <c r="B22" s="50"/>
      <c r="C22" s="50" t="n">
        <v>1.0</v>
      </c>
      <c r="D22" s="50"/>
      <c r="P22" s="49" t="s">
        <v>81</v>
      </c>
      <c r="Q22" s="49" t="s">
        <v>40</v>
      </c>
      <c r="R22" s="50"/>
      <c r="S22" s="50" t="n">
        <v>1.0</v>
      </c>
      <c r="T22" s="50" t="n">
        <v>1.0</v>
      </c>
    </row>
    <row r="23" spans="1:20" x14ac:dyDescent="0.25">
      <c r="A23" s="49" t="s">
        <v>76</v>
      </c>
      <c r="B23" s="50"/>
      <c r="C23" s="50" t="n">
        <v>1.0</v>
      </c>
      <c r="D23" s="50"/>
      <c r="P23" s="49" t="s">
        <v>82</v>
      </c>
      <c r="Q23" s="49" t="s">
        <v>40</v>
      </c>
      <c r="R23" s="50"/>
      <c r="S23" s="50" t="n">
        <v>1.0</v>
      </c>
      <c r="T23" s="50"/>
    </row>
    <row r="24">
      <c r="A24" s="49" t="s">
        <v>77</v>
      </c>
      <c r="B24" s="50"/>
      <c r="C24" s="50" t="n">
        <v>1.0</v>
      </c>
      <c r="D24" s="50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